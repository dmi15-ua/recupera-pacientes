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obación" sheetId="1" state="visible" r:id="rId3"/>
    <sheet name="Cómo usarla" sheetId="2" state="visible" r:id="rId4"/>
  </sheets>
  <definedNames>
    <definedName function="false" hidden="true" localSheetId="0" name="_xlnm._FilterDatabase" vbProcedure="false">Comprobación!$A$1:$T$27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<sst xmlns="http://schemas.openxmlformats.org/spreadsheetml/2006/main" count="252" uniqueCount="120">
  <si>
    <t xml:space="preserve">Orden</t>
  </si>
  <si>
    <t xml:space="preserve">Comprobar primero</t>
  </si>
  <si>
    <t xml:space="preserve">Clínica</t>
  </si>
  <si>
    <t xml:space="preserve">Provincia</t>
  </si>
  <si>
    <t xml:space="preserve">Especialidad</t>
  </si>
  <si>
    <t xml:space="preserve">Teléfono</t>
  </si>
  <si>
    <t xml:space="preserve">Google Maps</t>
  </si>
  <si>
    <t xml:space="preserve">Valor especialidad (2 dental/estética, 1 resto)</t>
  </si>
  <si>
    <t xml:space="preserve">Móvil WhatsApp (1 sí, 0 no)</t>
  </si>
  <si>
    <t xml:space="preserve">Horario con huecos (mediodía, cierra pronto)</t>
  </si>
  <si>
    <t xml:space="preserve">Web propia (de la búsqueda; pon «Sin web» solo si en Maps no hay botón de web)</t>
  </si>
  <si>
    <t xml:space="preserve">Nº reseñas en Google</t>
  </si>
  <si>
    <t xml:space="preserve">Queja de teléfono en reseñas recientes</t>
  </si>
  <si>
    <t xml:space="preserve">Cita de la reseña (sin nombre del autor)</t>
  </si>
  <si>
    <t xml:space="preserve">Llamada de prueba: no cogieron</t>
  </si>
  <si>
    <t xml:space="preserve">¿Es cadena o franquicia?</t>
  </si>
  <si>
    <t xml:space="preserve">Notas</t>
  </si>
  <si>
    <t xml:space="preserve">Prioridad</t>
  </si>
  <si>
    <t xml:space="preserve">Puntos (0-10)</t>
  </si>
  <si>
    <t xml:space="preserve">Ranking</t>
  </si>
  <si>
    <t xml:space="preserve">★ Primero</t>
  </si>
  <si>
    <t xml:space="preserve">Clínica Indenta</t>
  </si>
  <si>
    <t xml:space="preserve">Alicante</t>
  </si>
  <si>
    <t xml:space="preserve">Dental</t>
  </si>
  <si>
    <t xml:space="preserve">965 202 223</t>
  </si>
  <si>
    <t xml:space="preserve">Abrir en Maps</t>
  </si>
  <si>
    <t xml:space="preserve">Sí</t>
  </si>
  <si>
    <t xml:space="preserve">indenta.es</t>
  </si>
  <si>
    <t xml:space="preserve">Web según listado de la Universidad de Alicante. WhatClinic: 5,5/10 con 10 usuarios (baja, pocos datos). Horario L-V 9:00-20:00.</t>
  </si>
  <si>
    <t xml:space="preserve">Clínica Dental Virgen del Valle</t>
  </si>
  <si>
    <t xml:space="preserve">Almería</t>
  </si>
  <si>
    <t xml:space="preserve">—</t>
  </si>
  <si>
    <t xml:space="preserve">No encontrada</t>
  </si>
  <si>
    <t xml:space="preserve">Solo en directorios (1 opinión de 5★, 2023). Horario L-V 9:30-13:30 y 17:00-21:00 según Masquemedicos (2023).</t>
  </si>
  <si>
    <t xml:space="preserve">Clínica de Endodoncia (Federico Soto 13)</t>
  </si>
  <si>
    <t xml:space="preserve">WhatClinic: sin puntuación. L-M 9:30-13:00 y 16:30-19:00, miércoles cerrado, jueves y viernes por la mañana.</t>
  </si>
  <si>
    <t xml:space="preserve">Clínica Dental Fernández &amp; Ayora</t>
  </si>
  <si>
    <t xml:space="preserve">678 499 634</t>
  </si>
  <si>
    <t xml:space="preserve">?</t>
  </si>
  <si>
    <t xml:space="preserve">Fundada en 1988. Testimonios positivos en Bookimed (es publicidad). Dirección Marañón 21 en directorios, pero un panel de Cajamar dice nº 37 Bajo y 950 264 913: confirmar.</t>
  </si>
  <si>
    <t xml:space="preserve">Vigea Medicina Estética Avanzada y Antiaging</t>
  </si>
  <si>
    <t xml:space="preserve">Estética</t>
  </si>
  <si>
    <t xml:space="preserve">644 354 649</t>
  </si>
  <si>
    <t xml:space="preserve">Solo ficha en Masquemedicos, sin reseñas. Sedes en Almería y Granada.</t>
  </si>
  <si>
    <t xml:space="preserve">Clínica Dental Sancho Esper</t>
  </si>
  <si>
    <t xml:space="preserve">Dental y fisioterapia</t>
  </si>
  <si>
    <t xml:space="preserve">965 206 190</t>
  </si>
  <si>
    <t xml:space="preserve">Abierta desde 1989, varios dentistas. Pide cita desde el directorio. El horario partido L-V 10:00-13:30 y 16:30-20:00 es del fisioterapeuta, no de la clínica.</t>
  </si>
  <si>
    <t xml:space="preserve">Clínica Dental Espinardo</t>
  </si>
  <si>
    <t xml:space="preserve">Murcia</t>
  </si>
  <si>
    <t xml:space="preserve">968 305 686</t>
  </si>
  <si>
    <t xml:space="preserve">clinica-dental-espinardo.negocio.site</t>
  </si>
  <si>
    <t xml:space="preserve">Sitio gratuito de Google. Dirección distinta en eInforma (Calle Mayor 94); posible relación con Forma Dental Espinardo: confirmar si es cadena.</t>
  </si>
  <si>
    <t xml:space="preserve">Clínicas Ferrando Face Design</t>
  </si>
  <si>
    <t xml:space="preserve">Dental / estética facial</t>
  </si>
  <si>
    <t xml:space="preserve">968 271 822</t>
  </si>
  <si>
    <t xml:space="preserve">3 centros (2 en Murcia y uno en Santiago el Mayor). Otro teléfono: 968 901 636. Sin reseñas visibles.</t>
  </si>
  <si>
    <t xml:space="preserve">Clínica Novodent</t>
  </si>
  <si>
    <t xml:space="preserve">966 373 720</t>
  </si>
  <si>
    <t xml:space="preserve">Masquemedicos 4,5 (2017); WhatClinic 5,4/10 con 5 usuarios; Topdoctors 5,0 con 2 opiniones. Dirección: Conde de Lumiares 15 o 19.</t>
  </si>
  <si>
    <t xml:space="preserve">Clínica de Ortodoncia Doctora Begoña Barrachina</t>
  </si>
  <si>
    <t xml:space="preserve">965 210 439</t>
  </si>
  <si>
    <t xml:space="preserve">Clínica Dental Axis</t>
  </si>
  <si>
    <t xml:space="preserve">950 239 311</t>
  </si>
  <si>
    <t xml:space="preserve">clinicadentalaxis.es</t>
  </si>
  <si>
    <t xml:space="preserve">Zamora Centro Odontológico</t>
  </si>
  <si>
    <t xml:space="preserve">950 260 356</t>
  </si>
  <si>
    <t xml:space="preserve">Clínica Dental Abellán Mochón</t>
  </si>
  <si>
    <t xml:space="preserve">950 266 575</t>
  </si>
  <si>
    <t xml:space="preserve">Almeridental Clínica Dental</t>
  </si>
  <si>
    <t xml:space="preserve">950 277 968</t>
  </si>
  <si>
    <t xml:space="preserve">Clínica Dental Mediterráneo</t>
  </si>
  <si>
    <t xml:space="preserve">4 opiniones positivas en Doctoralia.</t>
  </si>
  <si>
    <t xml:space="preserve">Clínica Dental Azcona</t>
  </si>
  <si>
    <t xml:space="preserve">3,7 en atención al paciente con 3 opiniones (Masquemedicos).</t>
  </si>
  <si>
    <t xml:space="preserve">Ressam Centro Médico - Fisioterapia</t>
  </si>
  <si>
    <t xml:space="preserve">Fisioterapia</t>
  </si>
  <si>
    <t xml:space="preserve">966 305 479</t>
  </si>
  <si>
    <t xml:space="preserve">clinicaressam.com</t>
  </si>
  <si>
    <t xml:space="preserve">Clínica Podológica José María del Pino</t>
  </si>
  <si>
    <t xml:space="preserve">Podología</t>
  </si>
  <si>
    <t xml:space="preserve">113 opiniones en Doctoralia.</t>
  </si>
  <si>
    <t xml:space="preserve">Podología Esteban de Haro</t>
  </si>
  <si>
    <t xml:space="preserve">163 opiniones en Doctoralia.</t>
  </si>
  <si>
    <t xml:space="preserve">Fisioterapia de Almería</t>
  </si>
  <si>
    <t xml:space="preserve">Más de 30 años y unos 25.000 pacientes según su ficha.</t>
  </si>
  <si>
    <t xml:space="preserve">Policlínica Infante</t>
  </si>
  <si>
    <t xml:space="preserve">Podología y fisioterapia</t>
  </si>
  <si>
    <t xml:space="preserve">9 opiniones en Doctoralia.</t>
  </si>
  <si>
    <t xml:space="preserve">Clínica del Pie Rivera</t>
  </si>
  <si>
    <t xml:space="preserve">4 centros en la región, por encima del tamaño ideal.</t>
  </si>
  <si>
    <t xml:space="preserve">Clínica Procuida</t>
  </si>
  <si>
    <t xml:space="preserve">Ergofisio Alicante</t>
  </si>
  <si>
    <t xml:space="preserve">Fisioterapia y podología</t>
  </si>
  <si>
    <t xml:space="preserve">Clínica de Fisioterapia Antonio López Gómez</t>
  </si>
  <si>
    <t xml:space="preserve">Clínica Dental Cleardent Almería</t>
  </si>
  <si>
    <t xml:space="preserve">950 681 301</t>
  </si>
  <si>
    <t xml:space="preserve">Pertenece al grupo Cleardent: más de 30 clínicas en 9 provincias según su dossier.</t>
  </si>
  <si>
    <t xml:space="preserve">Qué es</t>
  </si>
  <si>
    <t xml:space="preserve">Hoja para comprobar a mano, en Google Maps, si estas clínicas pierden llamadas. Tú anotas lo que ves; el ranking se recalcula solo.</t>
  </si>
  <si>
    <t xml:space="preserve">Colores</t>
  </si>
  <si>
    <t xml:space="preserve">Azul claro con texto azul = dato que preparé yo (puedes corregirlo). Amarillo = lo rellenas tú. Columnas R, S y T = fórmulas, no las toques.</t>
  </si>
  <si>
    <t xml:space="preserve">Paso 1</t>
  </si>
  <si>
    <t xml:space="preserve">Empieza por las filas con ★ Primero. Haz clic en «Abrir en Maps».</t>
  </si>
  <si>
    <t xml:space="preserve">Paso 2</t>
  </si>
  <si>
    <t xml:space="preserve">Columna L: apunta el nº total de reseñas que ves en la ficha. Columna J: mira el horario; si cierra a mediodía o antes de las 18:00 entre semana, pon Sí (si no, No). Columna K: si en la ficha de Maps no hay botón de «Sitio web», escribe Sin web (suma 1 punto); si lo hay, pon la dirección.</t>
  </si>
  <si>
    <t xml:space="preserve">Paso 3</t>
  </si>
  <si>
    <t xml:space="preserve">Abre las reseñas, ordénalas por «Más recientes» y usa la lupa para buscar: teléfono, llamar, cogen, contestan, comunica, cita. Lee solo las de los últimos 3 años.</t>
  </si>
  <si>
    <t xml:space="preserve">Paso 4</t>
  </si>
  <si>
    <t xml:space="preserve">Si alguna reseña reciente se queja de no poder contactar por teléfono: columna M = Sí y pega la frase en N. No copies el nombre del autor.</t>
  </si>
  <si>
    <t xml:space="preserve">Paso 5 (opcional, la señal más fiable)</t>
  </si>
  <si>
    <t xml:space="preserve">Llama a la clínica 3 veces en horas distintas (mañana, mediodía, tarde). Si no cogen en ninguna, columna O = Sí. Si es una cadena o franquicia, columna P = Sí y se descarta.</t>
  </si>
  <si>
    <t xml:space="preserve">Paso 6</t>
  </si>
  <si>
    <t xml:space="preserve">Mira R (prioridad), S (puntos) y T (ranking). Ordena por T para ver las más potentes.</t>
  </si>
  <si>
    <t xml:space="preserve">Cómo se puntúa</t>
  </si>
  <si>
    <t xml:space="preserve">Prioridad: Alta (queja en reseñas o llamada de prueba sin respuesta) 5 · Media (horario con huecos) 3 · Por verificar 1. Más: valor de la especialidad (H), móvil (I), +1 si hay más de 100 reseñas en Google y +1 si confirmas «Sin web». Máximo 10. Una cadena puntúa 0.</t>
  </si>
  <si>
    <t xml:space="preserve">Ojo</t>
  </si>
  <si>
    <t xml:space="preserve">Los puntos iniciales salen solo de datos de directorio, sin reseñas de Google. Es un ranking de hipótesis: cambiará cuando anotes lo que ves.</t>
  </si>
  <si>
    <t xml:space="preserve">Ejemplo de fila rellenada</t>
  </si>
  <si>
    <t xml:space="preserve">Clínica Dental Ejemplo · J: Sí · K: Sin web · L: 187 · M: Sí · N: «Llamé tres días seguidos y no cogen el teléfono» · O: No · P: No → Prioridad Alta, 5 + 2 + 0 + 1 + 1 = 9 puntos.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</si>
</sst>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3D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DDEFE3"/>
        <bgColor rgb="FFE8F0FE"/>
      </patternFill>
    </fill>
    <fill>
      <patternFill patternType="solid">
        <fgColor rgb="FFE8F0FE"/>
        <bgColor rgb="FFDDEFE3"/>
      </patternFill>
    </fill>
    <fill>
      <patternFill patternType="solid">
        <fgColor rgb="FFFFF2B3"/>
        <bgColor rgb="FFFFE3A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FE3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FE3A3"/>
          <bgColor rgb="FF000000"/>
        </patternFill>
      </fill>
    </dxf>
    <dxf>
      <fill>
        <patternFill>
          <bgColor rgb="FFF8C9C4"/>
        </patternFill>
      </fill>
    </dxf>
    <dxf>
      <fill>
        <patternFill>
          <bgColor rgb="FFFFE3A3"/>
        </patternFill>
      </fill>
    </dxf>
    <dxf>
      <fill>
        <patternFill>
          <bgColor rgb="FFDDDD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FF2B3"/>
      <rgbColor rgb="FFE8F0FE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E3"/>
      <rgbColor rgb="FFFFE3A3"/>
      <rgbColor rgb="FF99CCFF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Cl&#237;nica%20Indenta%20Alicante" TargetMode="External"/><Relationship Id="rId2" Type="http://schemas.openxmlformats.org/officeDocument/2006/relationships/hyperlink" Target="https://www.google.com/maps/search/?api=1&amp;query=Cl&#237;nica%20Dental%20Virgen%20del%20Valle%20Almer&#237;a" TargetMode="External"/><Relationship Id="rId3" Type="http://schemas.openxmlformats.org/officeDocument/2006/relationships/hyperlink" Target="https://www.google.com/maps/search/?api=1&amp;query=Cl&#237;nica%20de%20Endodoncia%20%28Federico%20Soto%2013%29%20Alicante" TargetMode="External"/><Relationship Id="rId4" Type="http://schemas.openxmlformats.org/officeDocument/2006/relationships/hyperlink" Target="https://www.google.com/maps/search/?api=1&amp;query=Cl&#237;nica%20Dental%20Fern&#225;ndez%20%26%20Ayora%20Almer&#237;a" TargetMode="External"/><Relationship Id="rId5" Type="http://schemas.openxmlformats.org/officeDocument/2006/relationships/hyperlink" Target="https://www.google.com/maps/search/?api=1&amp;query=Vigea%20Medicina%20Est&#233;tica%20Avanzada%20y%20Antiaging%20Almer&#237;a" TargetMode="External"/><Relationship Id="rId6" Type="http://schemas.openxmlformats.org/officeDocument/2006/relationships/hyperlink" Target="https://www.google.com/maps/search/?api=1&amp;query=Cl&#237;nica%20Dental%20Sancho%20Esper%20Alicante" TargetMode="External"/><Relationship Id="rId7" Type="http://schemas.openxmlformats.org/officeDocument/2006/relationships/hyperlink" Target="https://www.google.com/maps/search/?api=1&amp;query=Cl&#237;nica%20Dental%20Espinardo%20Murcia" TargetMode="External"/><Relationship Id="rId8" Type="http://schemas.openxmlformats.org/officeDocument/2006/relationships/hyperlink" Target="https://www.google.com/maps/search/?api=1&amp;query=Cl&#237;nicas%20Ferrando%20Face%20Design%20Murcia" TargetMode="External"/><Relationship Id="rId9" Type="http://schemas.openxmlformats.org/officeDocument/2006/relationships/hyperlink" Target="https://www.google.com/maps/search/?api=1&amp;query=Cl&#237;nica%20Novodent%20Alicante" TargetMode="External"/><Relationship Id="rId10" Type="http://schemas.openxmlformats.org/officeDocument/2006/relationships/hyperlink" Target="https://www.google.com/maps/search/?api=1&amp;query=Cl&#237;nica%20de%20Ortodoncia%20Doctora%20Bego&#241;a%20Barrachina%20Alicante" TargetMode="External"/><Relationship Id="rId11" Type="http://schemas.openxmlformats.org/officeDocument/2006/relationships/hyperlink" Target="https://www.google.com/maps/search/?api=1&amp;query=Cl&#237;nica%20Dental%20Axis%20Almer&#237;a" TargetMode="External"/><Relationship Id="rId12" Type="http://schemas.openxmlformats.org/officeDocument/2006/relationships/hyperlink" Target="https://www.google.com/maps/search/?api=1&amp;query=Zamora%20Centro%20Odontol&#243;gico%20Almer&#237;a" TargetMode="External"/><Relationship Id="rId13" Type="http://schemas.openxmlformats.org/officeDocument/2006/relationships/hyperlink" Target="https://www.google.com/maps/search/?api=1&amp;query=Cl&#237;nica%20Dental%20Abell&#225;n%20Moch&#243;n%20Almer&#237;a" TargetMode="External"/><Relationship Id="rId14" Type="http://schemas.openxmlformats.org/officeDocument/2006/relationships/hyperlink" Target="https://www.google.com/maps/search/?api=1&amp;query=Almeridental%20Cl&#237;nica%20Dental%20Almer&#237;a" TargetMode="External"/><Relationship Id="rId15" Type="http://schemas.openxmlformats.org/officeDocument/2006/relationships/hyperlink" Target="https://www.google.com/maps/search/?api=1&amp;query=Cl&#237;nica%20Dental%20Mediterr&#225;neo%20Murcia" TargetMode="External"/><Relationship Id="rId16" Type="http://schemas.openxmlformats.org/officeDocument/2006/relationships/hyperlink" Target="https://www.google.com/maps/search/?api=1&amp;query=Cl&#237;nica%20Dental%20Azcona%20Almer&#237;a" TargetMode="External"/><Relationship Id="rId17" Type="http://schemas.openxmlformats.org/officeDocument/2006/relationships/hyperlink" Target="https://www.google.com/maps/search/?api=1&amp;query=Ressam%20Centro%20M&#233;dico%20-%20Fisioterapia%20Alicante" TargetMode="External"/><Relationship Id="rId18" Type="http://schemas.openxmlformats.org/officeDocument/2006/relationships/hyperlink" Target="https://www.google.com/maps/search/?api=1&amp;query=Cl&#237;nica%20Podol&#243;gica%20Jos&#233;%20Mar&#237;a%20del%20Pino%20Almer&#237;a" TargetMode="External"/><Relationship Id="rId19" Type="http://schemas.openxmlformats.org/officeDocument/2006/relationships/hyperlink" Target="https://www.google.com/maps/search/?api=1&amp;query=Podolog&#237;a%20Esteban%20de%20Haro%20Almer&#237;a" TargetMode="External"/><Relationship Id="rId20" Type="http://schemas.openxmlformats.org/officeDocument/2006/relationships/hyperlink" Target="https://www.google.com/maps/search/?api=1&amp;query=Fisioterapia%20de%20Almer&#237;a%20Almer&#237;a" TargetMode="External"/><Relationship Id="rId21" Type="http://schemas.openxmlformats.org/officeDocument/2006/relationships/hyperlink" Target="https://www.google.com/maps/search/?api=1&amp;query=Policl&#237;nica%20Infante%20Murcia" TargetMode="External"/><Relationship Id="rId22" Type="http://schemas.openxmlformats.org/officeDocument/2006/relationships/hyperlink" Target="https://www.google.com/maps/search/?api=1&amp;query=Cl&#237;nica%20del%20Pie%20Rivera%20Murcia" TargetMode="External"/><Relationship Id="rId23" Type="http://schemas.openxmlformats.org/officeDocument/2006/relationships/hyperlink" Target="https://www.google.com/maps/search/?api=1&amp;query=Cl&#237;nica%20Procuida%20Alicante" TargetMode="External"/><Relationship Id="rId24" Type="http://schemas.openxmlformats.org/officeDocument/2006/relationships/hyperlink" Target="https://www.google.com/maps/search/?api=1&amp;query=Ergofisio%20Alicante%20Alicante" TargetMode="External"/><Relationship Id="rId25" Type="http://schemas.openxmlformats.org/officeDocument/2006/relationships/hyperlink" Target="https://www.google.com/maps/search/?api=1&amp;query=Cl&#237;nica%20de%20Fisioterapia%20Antonio%20L&#243;pez%20G&#243;mez%20Murcia" TargetMode="External"/><Relationship Id="rId26" Type="http://schemas.openxmlformats.org/officeDocument/2006/relationships/hyperlink" Target="https://www.google.com/maps/search/?api=1&amp;query=Cl&#237;nica%20Dental%20Cleardent%20Almer&#237;a%20Almer&#237;a" TargetMode="External"/><Relationship Id="rId2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6" min="15" style="0" width="13"/>
    <col collapsed="false" customWidth="true" hidden="false" outlineLevel="0" max="17" min="17" style="0" width="50"/>
    <col collapsed="false" customWidth="true" hidden="false" outlineLevel="0" max="18" min="18" style="0" width="14"/>
    <col collapsed="false" customWidth="true" hidden="false" outlineLevel="0" max="20" min="19" style="0" width="9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n">
        <v>1</v>
      </c>
      <c r="B2" s="3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5" t="s">
        <v>25</v>
      </c>
      <c r="H2" s="6" t="n">
        <v>2</v>
      </c>
      <c r="I2" s="6" t="n">
        <v>0</v>
      </c>
      <c r="J2" s="6" t="s">
        <v>26</v>
      </c>
      <c r="K2" s="7" t="s">
        <v>27</v>
      </c>
      <c r="L2" s="8"/>
      <c r="M2" s="8"/>
      <c r="N2" s="9"/>
      <c r="O2" s="8"/>
      <c r="P2" s="8"/>
      <c r="Q2" s="10" t="s">
        <v>28</v>
      </c>
      <c r="R2" s="2" t="str">
        <f aca="false">IF(P2="Sí","Descartar",IF(OR(M2="Sí",O2="Sí"),"Alta",IF(J2="Sí","Media","Por verificar")))</f>
        <v>Media</v>
      </c>
      <c r="S2" s="2" t="n">
        <f aca="false">IF(P2="Sí",0,MIN(10,IF(R2="Alta",5,IF(R2="Media",3,1))+H2+I2+IF(L2&gt;100,1,0)+IF(K2="Sin web",1,0)))</f>
        <v>5</v>
      </c>
      <c r="T2" s="2" t="n">
        <f aca="false">IF(P2="Sí","",RANK(S2,$S$2:$S$27))</f>
        <v>1</v>
      </c>
    </row>
    <row r="3" customFormat="false" ht="23.85" hidden="false" customHeight="false" outlineLevel="0" collapsed="false">
      <c r="A3" s="2" t="n">
        <v>2</v>
      </c>
      <c r="B3" s="3" t="s">
        <v>20</v>
      </c>
      <c r="C3" s="4" t="s">
        <v>29</v>
      </c>
      <c r="D3" s="4" t="s">
        <v>30</v>
      </c>
      <c r="E3" s="4" t="s">
        <v>23</v>
      </c>
      <c r="F3" s="4" t="s">
        <v>31</v>
      </c>
      <c r="G3" s="5" t="s">
        <v>25</v>
      </c>
      <c r="H3" s="6" t="n">
        <v>2</v>
      </c>
      <c r="I3" s="6" t="n">
        <v>0</v>
      </c>
      <c r="J3" s="6" t="s">
        <v>26</v>
      </c>
      <c r="K3" s="7" t="s">
        <v>32</v>
      </c>
      <c r="L3" s="8"/>
      <c r="M3" s="8"/>
      <c r="N3" s="9"/>
      <c r="O3" s="8"/>
      <c r="P3" s="8"/>
      <c r="Q3" s="10" t="s">
        <v>33</v>
      </c>
      <c r="R3" s="2" t="str">
        <f aca="false">IF(P3="Sí","Descartar",IF(OR(M3="Sí",O3="Sí"),"Alta",IF(J3="Sí","Media","Por verificar")))</f>
        <v>Media</v>
      </c>
      <c r="S3" s="2" t="n">
        <f aca="false">IF(P3="Sí",0,MIN(10,IF(R3="Alta",5,IF(R3="Media",3,1))+H3+I3+IF(L3&gt;100,1,0)+IF(K3="Sin web",1,0)))</f>
        <v>5</v>
      </c>
      <c r="T3" s="2" t="n">
        <f aca="false">IF(P3="Sí","",RANK(S3,$S$2:$S$27))</f>
        <v>1</v>
      </c>
    </row>
    <row r="4" customFormat="false" ht="23.85" hidden="false" customHeight="false" outlineLevel="0" collapsed="false">
      <c r="A4" s="2" t="n">
        <v>3</v>
      </c>
      <c r="B4" s="3" t="s">
        <v>20</v>
      </c>
      <c r="C4" s="4" t="s">
        <v>34</v>
      </c>
      <c r="D4" s="4" t="s">
        <v>22</v>
      </c>
      <c r="E4" s="4" t="s">
        <v>23</v>
      </c>
      <c r="F4" s="4" t="s">
        <v>31</v>
      </c>
      <c r="G4" s="5" t="s">
        <v>25</v>
      </c>
      <c r="H4" s="6" t="n">
        <v>2</v>
      </c>
      <c r="I4" s="6" t="n">
        <v>0</v>
      </c>
      <c r="J4" s="6" t="s">
        <v>26</v>
      </c>
      <c r="K4" s="7" t="s">
        <v>32</v>
      </c>
      <c r="L4" s="8"/>
      <c r="M4" s="8"/>
      <c r="N4" s="9"/>
      <c r="O4" s="8"/>
      <c r="P4" s="8"/>
      <c r="Q4" s="10" t="s">
        <v>35</v>
      </c>
      <c r="R4" s="2" t="str">
        <f aca="false">IF(P4="Sí","Descartar",IF(OR(M4="Sí",O4="Sí"),"Alta",IF(J4="Sí","Media","Por verificar")))</f>
        <v>Media</v>
      </c>
      <c r="S4" s="2" t="n">
        <f aca="false">IF(P4="Sí",0,MIN(10,IF(R4="Alta",5,IF(R4="Media",3,1))+H4+I4+IF(L4&gt;100,1,0)+IF(K4="Sin web",1,0)))</f>
        <v>5</v>
      </c>
      <c r="T4" s="2" t="n">
        <f aca="false">IF(P4="Sí","",RANK(S4,$S$2:$S$27))</f>
        <v>1</v>
      </c>
    </row>
    <row r="5" customFormat="false" ht="35.05" hidden="false" customHeight="false" outlineLevel="0" collapsed="false">
      <c r="A5" s="2" t="n">
        <v>4</v>
      </c>
      <c r="B5" s="3" t="s">
        <v>20</v>
      </c>
      <c r="C5" s="4" t="s">
        <v>36</v>
      </c>
      <c r="D5" s="4" t="s">
        <v>30</v>
      </c>
      <c r="E5" s="4" t="s">
        <v>23</v>
      </c>
      <c r="F5" s="4" t="s">
        <v>37</v>
      </c>
      <c r="G5" s="5" t="s">
        <v>25</v>
      </c>
      <c r="H5" s="6" t="n">
        <v>2</v>
      </c>
      <c r="I5" s="6" t="n">
        <v>1</v>
      </c>
      <c r="J5" s="6" t="s">
        <v>38</v>
      </c>
      <c r="K5" s="7" t="s">
        <v>32</v>
      </c>
      <c r="L5" s="8"/>
      <c r="M5" s="8"/>
      <c r="N5" s="9"/>
      <c r="O5" s="8"/>
      <c r="P5" s="8"/>
      <c r="Q5" s="10" t="s">
        <v>39</v>
      </c>
      <c r="R5" s="2" t="str">
        <f aca="false">IF(P5="Sí","Descartar",IF(OR(M5="Sí",O5="Sí"),"Alta",IF(J5="Sí","Media","Por verificar")))</f>
        <v>Por verificar</v>
      </c>
      <c r="S5" s="2" t="n">
        <f aca="false">IF(P5="Sí",0,MIN(10,IF(R5="Alta",5,IF(R5="Media",3,1))+H5+I5+IF(L5&gt;100,1,0)+IF(K5="Sin web",1,0)))</f>
        <v>4</v>
      </c>
      <c r="T5" s="2" t="n">
        <f aca="false">IF(P5="Sí","",RANK(S5,$S$2:$S$27))</f>
        <v>4</v>
      </c>
    </row>
    <row r="6" customFormat="false" ht="23.85" hidden="false" customHeight="false" outlineLevel="0" collapsed="false">
      <c r="A6" s="2" t="n">
        <v>5</v>
      </c>
      <c r="B6" s="3" t="s">
        <v>20</v>
      </c>
      <c r="C6" s="4" t="s">
        <v>40</v>
      </c>
      <c r="D6" s="4" t="s">
        <v>30</v>
      </c>
      <c r="E6" s="4" t="s">
        <v>41</v>
      </c>
      <c r="F6" s="4" t="s">
        <v>42</v>
      </c>
      <c r="G6" s="5" t="s">
        <v>25</v>
      </c>
      <c r="H6" s="6" t="n">
        <v>2</v>
      </c>
      <c r="I6" s="6" t="n">
        <v>1</v>
      </c>
      <c r="J6" s="6" t="s">
        <v>38</v>
      </c>
      <c r="K6" s="7" t="s">
        <v>32</v>
      </c>
      <c r="L6" s="8"/>
      <c r="M6" s="8"/>
      <c r="N6" s="9"/>
      <c r="O6" s="8"/>
      <c r="P6" s="8"/>
      <c r="Q6" s="10" t="s">
        <v>43</v>
      </c>
      <c r="R6" s="2" t="str">
        <f aca="false">IF(P6="Sí","Descartar",IF(OR(M6="Sí",O6="Sí"),"Alta",IF(J6="Sí","Media","Por verificar")))</f>
        <v>Por verificar</v>
      </c>
      <c r="S6" s="2" t="n">
        <f aca="false">IF(P6="Sí",0,MIN(10,IF(R6="Alta",5,IF(R6="Media",3,1))+H6+I6+IF(L6&gt;100,1,0)+IF(K6="Sin web",1,0)))</f>
        <v>4</v>
      </c>
      <c r="T6" s="2" t="n">
        <f aca="false">IF(P6="Sí","",RANK(S6,$S$2:$S$27))</f>
        <v>4</v>
      </c>
    </row>
    <row r="7" customFormat="false" ht="35.05" hidden="false" customHeight="false" outlineLevel="0" collapsed="false">
      <c r="A7" s="2" t="n">
        <v>6</v>
      </c>
      <c r="B7" s="3" t="s">
        <v>20</v>
      </c>
      <c r="C7" s="4" t="s">
        <v>44</v>
      </c>
      <c r="D7" s="4" t="s">
        <v>22</v>
      </c>
      <c r="E7" s="4" t="s">
        <v>45</v>
      </c>
      <c r="F7" s="4" t="s">
        <v>46</v>
      </c>
      <c r="G7" s="5" t="s">
        <v>25</v>
      </c>
      <c r="H7" s="6" t="n">
        <v>2</v>
      </c>
      <c r="I7" s="6" t="n">
        <v>0</v>
      </c>
      <c r="J7" s="6" t="s">
        <v>38</v>
      </c>
      <c r="K7" s="7" t="s">
        <v>32</v>
      </c>
      <c r="L7" s="8"/>
      <c r="M7" s="8"/>
      <c r="N7" s="9"/>
      <c r="O7" s="8"/>
      <c r="P7" s="8"/>
      <c r="Q7" s="10" t="s">
        <v>47</v>
      </c>
      <c r="R7" s="2" t="str">
        <f aca="false">IF(P7="Sí","Descartar",IF(OR(M7="Sí",O7="Sí"),"Alta",IF(J7="Sí","Media","Por verificar")))</f>
        <v>Por verificar</v>
      </c>
      <c r="S7" s="2" t="n">
        <f aca="false">IF(P7="Sí",0,MIN(10,IF(R7="Alta",5,IF(R7="Media",3,1))+H7+I7+IF(L7&gt;100,1,0)+IF(K7="Sin web",1,0)))</f>
        <v>3</v>
      </c>
      <c r="T7" s="2" t="n">
        <f aca="false">IF(P7="Sí","",RANK(S7,$S$2:$S$27))</f>
        <v>6</v>
      </c>
    </row>
    <row r="8" customFormat="false" ht="35.05" hidden="false" customHeight="false" outlineLevel="0" collapsed="false">
      <c r="A8" s="2" t="n">
        <v>7</v>
      </c>
      <c r="B8" s="3" t="s">
        <v>20</v>
      </c>
      <c r="C8" s="4" t="s">
        <v>48</v>
      </c>
      <c r="D8" s="4" t="s">
        <v>49</v>
      </c>
      <c r="E8" s="4" t="s">
        <v>23</v>
      </c>
      <c r="F8" s="4" t="s">
        <v>50</v>
      </c>
      <c r="G8" s="5" t="s">
        <v>25</v>
      </c>
      <c r="H8" s="6" t="n">
        <v>2</v>
      </c>
      <c r="I8" s="6" t="n">
        <v>0</v>
      </c>
      <c r="J8" s="6" t="s">
        <v>38</v>
      </c>
      <c r="K8" s="7" t="s">
        <v>51</v>
      </c>
      <c r="L8" s="8"/>
      <c r="M8" s="8"/>
      <c r="N8" s="9"/>
      <c r="O8" s="8"/>
      <c r="P8" s="8"/>
      <c r="Q8" s="10" t="s">
        <v>52</v>
      </c>
      <c r="R8" s="2" t="str">
        <f aca="false">IF(P8="Sí","Descartar",IF(OR(M8="Sí",O8="Sí"),"Alta",IF(J8="Sí","Media","Por verificar")))</f>
        <v>Por verificar</v>
      </c>
      <c r="S8" s="2" t="n">
        <f aca="false">IF(P8="Sí",0,MIN(10,IF(R8="Alta",5,IF(R8="Media",3,1))+H8+I8+IF(L8&gt;100,1,0)+IF(K8="Sin web",1,0)))</f>
        <v>3</v>
      </c>
      <c r="T8" s="2" t="n">
        <f aca="false">IF(P8="Sí","",RANK(S8,$S$2:$S$27))</f>
        <v>6</v>
      </c>
    </row>
    <row r="9" customFormat="false" ht="23.85" hidden="false" customHeight="false" outlineLevel="0" collapsed="false">
      <c r="A9" s="2" t="n">
        <v>8</v>
      </c>
      <c r="B9" s="3" t="s">
        <v>20</v>
      </c>
      <c r="C9" s="4" t="s">
        <v>53</v>
      </c>
      <c r="D9" s="4" t="s">
        <v>49</v>
      </c>
      <c r="E9" s="4" t="s">
        <v>54</v>
      </c>
      <c r="F9" s="4" t="s">
        <v>55</v>
      </c>
      <c r="G9" s="5" t="s">
        <v>25</v>
      </c>
      <c r="H9" s="6" t="n">
        <v>2</v>
      </c>
      <c r="I9" s="6" t="n">
        <v>0</v>
      </c>
      <c r="J9" s="6" t="s">
        <v>38</v>
      </c>
      <c r="K9" s="7" t="s">
        <v>32</v>
      </c>
      <c r="L9" s="8"/>
      <c r="M9" s="8"/>
      <c r="N9" s="9"/>
      <c r="O9" s="8"/>
      <c r="P9" s="8"/>
      <c r="Q9" s="10" t="s">
        <v>56</v>
      </c>
      <c r="R9" s="2" t="str">
        <f aca="false">IF(P9="Sí","Descartar",IF(OR(M9="Sí",O9="Sí"),"Alta",IF(J9="Sí","Media","Por verificar")))</f>
        <v>Por verificar</v>
      </c>
      <c r="S9" s="2" t="n">
        <f aca="false">IF(P9="Sí",0,MIN(10,IF(R9="Alta",5,IF(R9="Media",3,1))+H9+I9+IF(L9&gt;100,1,0)+IF(K9="Sin web",1,0)))</f>
        <v>3</v>
      </c>
      <c r="T9" s="2" t="n">
        <f aca="false">IF(P9="Sí","",RANK(S9,$S$2:$S$27))</f>
        <v>6</v>
      </c>
    </row>
    <row r="10" customFormat="false" ht="35.05" hidden="false" customHeight="false" outlineLevel="0" collapsed="false">
      <c r="A10" s="2" t="n">
        <v>9</v>
      </c>
      <c r="B10" s="3" t="s">
        <v>20</v>
      </c>
      <c r="C10" s="4" t="s">
        <v>57</v>
      </c>
      <c r="D10" s="4" t="s">
        <v>22</v>
      </c>
      <c r="E10" s="4" t="s">
        <v>23</v>
      </c>
      <c r="F10" s="4" t="s">
        <v>58</v>
      </c>
      <c r="G10" s="5" t="s">
        <v>25</v>
      </c>
      <c r="H10" s="6" t="n">
        <v>2</v>
      </c>
      <c r="I10" s="6" t="n">
        <v>0</v>
      </c>
      <c r="J10" s="6" t="s">
        <v>38</v>
      </c>
      <c r="K10" s="7" t="s">
        <v>32</v>
      </c>
      <c r="L10" s="8"/>
      <c r="M10" s="8"/>
      <c r="N10" s="9"/>
      <c r="O10" s="8"/>
      <c r="P10" s="8"/>
      <c r="Q10" s="10" t="s">
        <v>59</v>
      </c>
      <c r="R10" s="2" t="str">
        <f aca="false">IF(P10="Sí","Descartar",IF(OR(M10="Sí",O10="Sí"),"Alta",IF(J10="Sí","Media","Por verificar")))</f>
        <v>Por verificar</v>
      </c>
      <c r="S10" s="2" t="n">
        <f aca="false">IF(P10="Sí",0,MIN(10,IF(R10="Alta",5,IF(R10="Media",3,1))+H10+I10+IF(L10&gt;100,1,0)+IF(K10="Sin web",1,0)))</f>
        <v>3</v>
      </c>
      <c r="T10" s="2" t="n">
        <f aca="false">IF(P10="Sí","",RANK(S10,$S$2:$S$27))</f>
        <v>6</v>
      </c>
    </row>
    <row r="11" customFormat="false" ht="23.85" hidden="false" customHeight="false" outlineLevel="0" collapsed="false">
      <c r="A11" s="2" t="n">
        <v>10</v>
      </c>
      <c r="B11" s="3" t="s">
        <v>20</v>
      </c>
      <c r="C11" s="4" t="s">
        <v>60</v>
      </c>
      <c r="D11" s="4" t="s">
        <v>22</v>
      </c>
      <c r="E11" s="4" t="s">
        <v>23</v>
      </c>
      <c r="F11" s="4" t="s">
        <v>61</v>
      </c>
      <c r="G11" s="5" t="s">
        <v>25</v>
      </c>
      <c r="H11" s="6" t="n">
        <v>2</v>
      </c>
      <c r="I11" s="6" t="n">
        <v>0</v>
      </c>
      <c r="J11" s="6" t="s">
        <v>38</v>
      </c>
      <c r="K11" s="7" t="s">
        <v>38</v>
      </c>
      <c r="L11" s="8"/>
      <c r="M11" s="8"/>
      <c r="N11" s="9"/>
      <c r="O11" s="8"/>
      <c r="P11" s="8"/>
      <c r="Q11" s="10"/>
      <c r="R11" s="2" t="str">
        <f aca="false">IF(P11="Sí","Descartar",IF(OR(M11="Sí",O11="Sí"),"Alta",IF(J11="Sí","Media","Por verificar")))</f>
        <v>Por verificar</v>
      </c>
      <c r="S11" s="2" t="n">
        <f aca="false">IF(P11="Sí",0,MIN(10,IF(R11="Alta",5,IF(R11="Media",3,1))+H11+I11+IF(L11&gt;100,1,0)+IF(K11="Sin web",1,0)))</f>
        <v>3</v>
      </c>
      <c r="T11" s="2" t="n">
        <f aca="false">IF(P11="Sí","",RANK(S11,$S$2:$S$27))</f>
        <v>6</v>
      </c>
    </row>
    <row r="12" customFormat="false" ht="15" hidden="false" customHeight="false" outlineLevel="0" collapsed="false">
      <c r="A12" s="2" t="n">
        <v>11</v>
      </c>
      <c r="B12" s="4"/>
      <c r="C12" s="4" t="s">
        <v>62</v>
      </c>
      <c r="D12" s="4" t="s">
        <v>30</v>
      </c>
      <c r="E12" s="4" t="s">
        <v>23</v>
      </c>
      <c r="F12" s="4" t="s">
        <v>63</v>
      </c>
      <c r="G12" s="5" t="s">
        <v>25</v>
      </c>
      <c r="H12" s="6" t="n">
        <v>2</v>
      </c>
      <c r="I12" s="6" t="n">
        <v>0</v>
      </c>
      <c r="J12" s="6" t="s">
        <v>38</v>
      </c>
      <c r="K12" s="7" t="s">
        <v>64</v>
      </c>
      <c r="L12" s="8"/>
      <c r="M12" s="8"/>
      <c r="N12" s="9"/>
      <c r="O12" s="8"/>
      <c r="P12" s="8"/>
      <c r="Q12" s="10"/>
      <c r="R12" s="2" t="str">
        <f aca="false">IF(P12="Sí","Descartar",IF(OR(M12="Sí",O12="Sí"),"Alta",IF(J12="Sí","Media","Por verificar")))</f>
        <v>Por verificar</v>
      </c>
      <c r="S12" s="2" t="n">
        <f aca="false">IF(P12="Sí",0,MIN(10,IF(R12="Alta",5,IF(R12="Media",3,1))+H12+I12+IF(L12&gt;100,1,0)+IF(K12="Sin web",1,0)))</f>
        <v>3</v>
      </c>
      <c r="T12" s="2" t="n">
        <f aca="false">IF(P12="Sí","",RANK(S12,$S$2:$S$27))</f>
        <v>6</v>
      </c>
    </row>
    <row r="13" customFormat="false" ht="15" hidden="false" customHeight="false" outlineLevel="0" collapsed="false">
      <c r="A13" s="2" t="n">
        <v>12</v>
      </c>
      <c r="B13" s="4"/>
      <c r="C13" s="4" t="s">
        <v>65</v>
      </c>
      <c r="D13" s="4" t="s">
        <v>30</v>
      </c>
      <c r="E13" s="4" t="s">
        <v>23</v>
      </c>
      <c r="F13" s="4" t="s">
        <v>66</v>
      </c>
      <c r="G13" s="5" t="s">
        <v>25</v>
      </c>
      <c r="H13" s="6" t="n">
        <v>2</v>
      </c>
      <c r="I13" s="6" t="n">
        <v>0</v>
      </c>
      <c r="J13" s="6" t="s">
        <v>38</v>
      </c>
      <c r="K13" s="7" t="s">
        <v>38</v>
      </c>
      <c r="L13" s="8"/>
      <c r="M13" s="8"/>
      <c r="N13" s="9"/>
      <c r="O13" s="8"/>
      <c r="P13" s="8"/>
      <c r="Q13" s="10"/>
      <c r="R13" s="2" t="str">
        <f aca="false">IF(P13="Sí","Descartar",IF(OR(M13="Sí",O13="Sí"),"Alta",IF(J13="Sí","Media","Por verificar")))</f>
        <v>Por verificar</v>
      </c>
      <c r="S13" s="2" t="n">
        <f aca="false">IF(P13="Sí",0,MIN(10,IF(R13="Alta",5,IF(R13="Media",3,1))+H13+I13+IF(L13&gt;100,1,0)+IF(K13="Sin web",1,0)))</f>
        <v>3</v>
      </c>
      <c r="T13" s="2" t="n">
        <f aca="false">IF(P13="Sí","",RANK(S13,$S$2:$S$27))</f>
        <v>6</v>
      </c>
    </row>
    <row r="14" customFormat="false" ht="15" hidden="false" customHeight="false" outlineLevel="0" collapsed="false">
      <c r="A14" s="2" t="n">
        <v>13</v>
      </c>
      <c r="B14" s="4"/>
      <c r="C14" s="4" t="s">
        <v>67</v>
      </c>
      <c r="D14" s="4" t="s">
        <v>30</v>
      </c>
      <c r="E14" s="4" t="s">
        <v>23</v>
      </c>
      <c r="F14" s="4" t="s">
        <v>68</v>
      </c>
      <c r="G14" s="5" t="s">
        <v>25</v>
      </c>
      <c r="H14" s="6" t="n">
        <v>2</v>
      </c>
      <c r="I14" s="6" t="n">
        <v>0</v>
      </c>
      <c r="J14" s="6" t="s">
        <v>38</v>
      </c>
      <c r="K14" s="7" t="s">
        <v>38</v>
      </c>
      <c r="L14" s="8"/>
      <c r="M14" s="8"/>
      <c r="N14" s="9"/>
      <c r="O14" s="8"/>
      <c r="P14" s="8"/>
      <c r="Q14" s="10"/>
      <c r="R14" s="2" t="str">
        <f aca="false">IF(P14="Sí","Descartar",IF(OR(M14="Sí",O14="Sí"),"Alta",IF(J14="Sí","Media","Por verificar")))</f>
        <v>Por verificar</v>
      </c>
      <c r="S14" s="2" t="n">
        <f aca="false">IF(P14="Sí",0,MIN(10,IF(R14="Alta",5,IF(R14="Media",3,1))+H14+I14+IF(L14&gt;100,1,0)+IF(K14="Sin web",1,0)))</f>
        <v>3</v>
      </c>
      <c r="T14" s="2" t="n">
        <f aca="false">IF(P14="Sí","",RANK(S14,$S$2:$S$27))</f>
        <v>6</v>
      </c>
    </row>
    <row r="15" customFormat="false" ht="15" hidden="false" customHeight="false" outlineLevel="0" collapsed="false">
      <c r="A15" s="2" t="n">
        <v>14</v>
      </c>
      <c r="B15" s="4"/>
      <c r="C15" s="4" t="s">
        <v>69</v>
      </c>
      <c r="D15" s="4" t="s">
        <v>30</v>
      </c>
      <c r="E15" s="4" t="s">
        <v>23</v>
      </c>
      <c r="F15" s="4" t="s">
        <v>70</v>
      </c>
      <c r="G15" s="5" t="s">
        <v>25</v>
      </c>
      <c r="H15" s="6" t="n">
        <v>2</v>
      </c>
      <c r="I15" s="6" t="n">
        <v>0</v>
      </c>
      <c r="J15" s="6" t="s">
        <v>38</v>
      </c>
      <c r="K15" s="7" t="s">
        <v>38</v>
      </c>
      <c r="L15" s="8"/>
      <c r="M15" s="8"/>
      <c r="N15" s="9"/>
      <c r="O15" s="8"/>
      <c r="P15" s="8"/>
      <c r="Q15" s="10"/>
      <c r="R15" s="2" t="str">
        <f aca="false">IF(P15="Sí","Descartar",IF(OR(M15="Sí",O15="Sí"),"Alta",IF(J15="Sí","Media","Por verificar")))</f>
        <v>Por verificar</v>
      </c>
      <c r="S15" s="2" t="n">
        <f aca="false">IF(P15="Sí",0,MIN(10,IF(R15="Alta",5,IF(R15="Media",3,1))+H15+I15+IF(L15&gt;100,1,0)+IF(K15="Sin web",1,0)))</f>
        <v>3</v>
      </c>
      <c r="T15" s="2" t="n">
        <f aca="false">IF(P15="Sí","",RANK(S15,$S$2:$S$27))</f>
        <v>6</v>
      </c>
    </row>
    <row r="16" customFormat="false" ht="15" hidden="false" customHeight="false" outlineLevel="0" collapsed="false">
      <c r="A16" s="2" t="n">
        <v>15</v>
      </c>
      <c r="B16" s="4"/>
      <c r="C16" s="4" t="s">
        <v>71</v>
      </c>
      <c r="D16" s="4" t="s">
        <v>49</v>
      </c>
      <c r="E16" s="4" t="s">
        <v>23</v>
      </c>
      <c r="F16" s="4" t="s">
        <v>31</v>
      </c>
      <c r="G16" s="5" t="s">
        <v>25</v>
      </c>
      <c r="H16" s="6" t="n">
        <v>2</v>
      </c>
      <c r="I16" s="6" t="n">
        <v>0</v>
      </c>
      <c r="J16" s="6" t="s">
        <v>38</v>
      </c>
      <c r="K16" s="7" t="s">
        <v>38</v>
      </c>
      <c r="L16" s="8"/>
      <c r="M16" s="8"/>
      <c r="N16" s="9"/>
      <c r="O16" s="8"/>
      <c r="P16" s="8"/>
      <c r="Q16" s="10" t="s">
        <v>72</v>
      </c>
      <c r="R16" s="2" t="str">
        <f aca="false">IF(P16="Sí","Descartar",IF(OR(M16="Sí",O16="Sí"),"Alta",IF(J16="Sí","Media","Por verificar")))</f>
        <v>Por verificar</v>
      </c>
      <c r="S16" s="2" t="n">
        <f aca="false">IF(P16="Sí",0,MIN(10,IF(R16="Alta",5,IF(R16="Media",3,1))+H16+I16+IF(L16&gt;100,1,0)+IF(K16="Sin web",1,0)))</f>
        <v>3</v>
      </c>
      <c r="T16" s="2" t="n">
        <f aca="false">IF(P16="Sí","",RANK(S16,$S$2:$S$27))</f>
        <v>6</v>
      </c>
    </row>
    <row r="17" customFormat="false" ht="23.85" hidden="false" customHeight="false" outlineLevel="0" collapsed="false">
      <c r="A17" s="2" t="n">
        <v>16</v>
      </c>
      <c r="B17" s="4"/>
      <c r="C17" s="4" t="s">
        <v>73</v>
      </c>
      <c r="D17" s="4" t="s">
        <v>30</v>
      </c>
      <c r="E17" s="4" t="s">
        <v>23</v>
      </c>
      <c r="F17" s="4" t="s">
        <v>31</v>
      </c>
      <c r="G17" s="5" t="s">
        <v>25</v>
      </c>
      <c r="H17" s="6" t="n">
        <v>2</v>
      </c>
      <c r="I17" s="6" t="n">
        <v>0</v>
      </c>
      <c r="J17" s="6" t="s">
        <v>38</v>
      </c>
      <c r="K17" s="7" t="s">
        <v>38</v>
      </c>
      <c r="L17" s="8"/>
      <c r="M17" s="8"/>
      <c r="N17" s="9"/>
      <c r="O17" s="8"/>
      <c r="P17" s="8"/>
      <c r="Q17" s="10" t="s">
        <v>74</v>
      </c>
      <c r="R17" s="2" t="str">
        <f aca="false">IF(P17="Sí","Descartar",IF(OR(M17="Sí",O17="Sí"),"Alta",IF(J17="Sí","Media","Por verificar")))</f>
        <v>Por verificar</v>
      </c>
      <c r="S17" s="2" t="n">
        <f aca="false">IF(P17="Sí",0,MIN(10,IF(R17="Alta",5,IF(R17="Media",3,1))+H17+I17+IF(L17&gt;100,1,0)+IF(K17="Sin web",1,0)))</f>
        <v>3</v>
      </c>
      <c r="T17" s="2" t="n">
        <f aca="false">IF(P17="Sí","",RANK(S17,$S$2:$S$27))</f>
        <v>6</v>
      </c>
    </row>
    <row r="18" customFormat="false" ht="15" hidden="false" customHeight="false" outlineLevel="0" collapsed="false">
      <c r="A18" s="2" t="n">
        <v>17</v>
      </c>
      <c r="B18" s="4"/>
      <c r="C18" s="4" t="s">
        <v>75</v>
      </c>
      <c r="D18" s="4" t="s">
        <v>22</v>
      </c>
      <c r="E18" s="4" t="s">
        <v>76</v>
      </c>
      <c r="F18" s="4" t="s">
        <v>77</v>
      </c>
      <c r="G18" s="5" t="s">
        <v>25</v>
      </c>
      <c r="H18" s="6" t="n">
        <v>1</v>
      </c>
      <c r="I18" s="6" t="n">
        <v>0</v>
      </c>
      <c r="J18" s="6" t="s">
        <v>38</v>
      </c>
      <c r="K18" s="7" t="s">
        <v>78</v>
      </c>
      <c r="L18" s="8"/>
      <c r="M18" s="8"/>
      <c r="N18" s="9"/>
      <c r="O18" s="8"/>
      <c r="P18" s="8"/>
      <c r="Q18" s="10"/>
      <c r="R18" s="2" t="str">
        <f aca="false">IF(P18="Sí","Descartar",IF(OR(M18="Sí",O18="Sí"),"Alta",IF(J18="Sí","Media","Por verificar")))</f>
        <v>Por verificar</v>
      </c>
      <c r="S18" s="2" t="n">
        <f aca="false">IF(P18="Sí",0,MIN(10,IF(R18="Alta",5,IF(R18="Media",3,1))+H18+I18+IF(L18&gt;100,1,0)+IF(K18="Sin web",1,0)))</f>
        <v>2</v>
      </c>
      <c r="T18" s="2" t="n">
        <f aca="false">IF(P18="Sí","",RANK(S18,$S$2:$S$27))</f>
        <v>17</v>
      </c>
    </row>
    <row r="19" customFormat="false" ht="15" hidden="false" customHeight="false" outlineLevel="0" collapsed="false">
      <c r="A19" s="2" t="n">
        <v>18</v>
      </c>
      <c r="B19" s="4"/>
      <c r="C19" s="4" t="s">
        <v>79</v>
      </c>
      <c r="D19" s="4" t="s">
        <v>30</v>
      </c>
      <c r="E19" s="4" t="s">
        <v>80</v>
      </c>
      <c r="F19" s="4" t="s">
        <v>31</v>
      </c>
      <c r="G19" s="5" t="s">
        <v>25</v>
      </c>
      <c r="H19" s="6" t="n">
        <v>1</v>
      </c>
      <c r="I19" s="6" t="n">
        <v>0</v>
      </c>
      <c r="J19" s="6" t="s">
        <v>38</v>
      </c>
      <c r="K19" s="7" t="s">
        <v>38</v>
      </c>
      <c r="L19" s="8"/>
      <c r="M19" s="8"/>
      <c r="N19" s="9"/>
      <c r="O19" s="8"/>
      <c r="P19" s="8"/>
      <c r="Q19" s="10" t="s">
        <v>81</v>
      </c>
      <c r="R19" s="2" t="str">
        <f aca="false">IF(P19="Sí","Descartar",IF(OR(M19="Sí",O19="Sí"),"Alta",IF(J19="Sí","Media","Por verificar")))</f>
        <v>Por verificar</v>
      </c>
      <c r="S19" s="2" t="n">
        <f aca="false">IF(P19="Sí",0,MIN(10,IF(R19="Alta",5,IF(R19="Media",3,1))+H19+I19+IF(L19&gt;100,1,0)+IF(K19="Sin web",1,0)))</f>
        <v>2</v>
      </c>
      <c r="T19" s="2" t="n">
        <f aca="false">IF(P19="Sí","",RANK(S19,$S$2:$S$27))</f>
        <v>17</v>
      </c>
    </row>
    <row r="20" customFormat="false" ht="15" hidden="false" customHeight="false" outlineLevel="0" collapsed="false">
      <c r="A20" s="2" t="n">
        <v>19</v>
      </c>
      <c r="B20" s="4"/>
      <c r="C20" s="4" t="s">
        <v>82</v>
      </c>
      <c r="D20" s="4" t="s">
        <v>30</v>
      </c>
      <c r="E20" s="4" t="s">
        <v>80</v>
      </c>
      <c r="F20" s="4" t="s">
        <v>31</v>
      </c>
      <c r="G20" s="5" t="s">
        <v>25</v>
      </c>
      <c r="H20" s="6" t="n">
        <v>1</v>
      </c>
      <c r="I20" s="6" t="n">
        <v>0</v>
      </c>
      <c r="J20" s="6" t="s">
        <v>38</v>
      </c>
      <c r="K20" s="7" t="s">
        <v>38</v>
      </c>
      <c r="L20" s="8"/>
      <c r="M20" s="8"/>
      <c r="N20" s="9"/>
      <c r="O20" s="8"/>
      <c r="P20" s="8"/>
      <c r="Q20" s="10" t="s">
        <v>83</v>
      </c>
      <c r="R20" s="2" t="str">
        <f aca="false">IF(P20="Sí","Descartar",IF(OR(M20="Sí",O20="Sí"),"Alta",IF(J20="Sí","Media","Por verificar")))</f>
        <v>Por verificar</v>
      </c>
      <c r="S20" s="2" t="n">
        <f aca="false">IF(P20="Sí",0,MIN(10,IF(R20="Alta",5,IF(R20="Media",3,1))+H20+I20+IF(L20&gt;100,1,0)+IF(K20="Sin web",1,0)))</f>
        <v>2</v>
      </c>
      <c r="T20" s="2" t="n">
        <f aca="false">IF(P20="Sí","",RANK(S20,$S$2:$S$27))</f>
        <v>17</v>
      </c>
    </row>
    <row r="21" customFormat="false" ht="15" hidden="false" customHeight="false" outlineLevel="0" collapsed="false">
      <c r="A21" s="2" t="n">
        <v>20</v>
      </c>
      <c r="B21" s="4"/>
      <c r="C21" s="4" t="s">
        <v>84</v>
      </c>
      <c r="D21" s="4" t="s">
        <v>30</v>
      </c>
      <c r="E21" s="4" t="s">
        <v>76</v>
      </c>
      <c r="F21" s="4" t="s">
        <v>31</v>
      </c>
      <c r="G21" s="5" t="s">
        <v>25</v>
      </c>
      <c r="H21" s="6" t="n">
        <v>1</v>
      </c>
      <c r="I21" s="6" t="n">
        <v>0</v>
      </c>
      <c r="J21" s="6" t="s">
        <v>38</v>
      </c>
      <c r="K21" s="7" t="s">
        <v>38</v>
      </c>
      <c r="L21" s="8"/>
      <c r="M21" s="8"/>
      <c r="N21" s="9"/>
      <c r="O21" s="8"/>
      <c r="P21" s="8"/>
      <c r="Q21" s="10" t="s">
        <v>85</v>
      </c>
      <c r="R21" s="2" t="str">
        <f aca="false">IF(P21="Sí","Descartar",IF(OR(M21="Sí",O21="Sí"),"Alta",IF(J21="Sí","Media","Por verificar")))</f>
        <v>Por verificar</v>
      </c>
      <c r="S21" s="2" t="n">
        <f aca="false">IF(P21="Sí",0,MIN(10,IF(R21="Alta",5,IF(R21="Media",3,1))+H21+I21+IF(L21&gt;100,1,0)+IF(K21="Sin web",1,0)))</f>
        <v>2</v>
      </c>
      <c r="T21" s="2" t="n">
        <f aca="false">IF(P21="Sí","",RANK(S21,$S$2:$S$27))</f>
        <v>17</v>
      </c>
    </row>
    <row r="22" customFormat="false" ht="15" hidden="false" customHeight="false" outlineLevel="0" collapsed="false">
      <c r="A22" s="2" t="n">
        <v>21</v>
      </c>
      <c r="B22" s="4"/>
      <c r="C22" s="4" t="s">
        <v>86</v>
      </c>
      <c r="D22" s="4" t="s">
        <v>49</v>
      </c>
      <c r="E22" s="4" t="s">
        <v>87</v>
      </c>
      <c r="F22" s="4" t="s">
        <v>31</v>
      </c>
      <c r="G22" s="5" t="s">
        <v>25</v>
      </c>
      <c r="H22" s="6" t="n">
        <v>1</v>
      </c>
      <c r="I22" s="6" t="n">
        <v>0</v>
      </c>
      <c r="J22" s="6" t="s">
        <v>38</v>
      </c>
      <c r="K22" s="7" t="s">
        <v>38</v>
      </c>
      <c r="L22" s="8"/>
      <c r="M22" s="8"/>
      <c r="N22" s="9"/>
      <c r="O22" s="8"/>
      <c r="P22" s="8"/>
      <c r="Q22" s="10" t="s">
        <v>88</v>
      </c>
      <c r="R22" s="2" t="str">
        <f aca="false">IF(P22="Sí","Descartar",IF(OR(M22="Sí",O22="Sí"),"Alta",IF(J22="Sí","Media","Por verificar")))</f>
        <v>Por verificar</v>
      </c>
      <c r="S22" s="2" t="n">
        <f aca="false">IF(P22="Sí",0,MIN(10,IF(R22="Alta",5,IF(R22="Media",3,1))+H22+I22+IF(L22&gt;100,1,0)+IF(K22="Sin web",1,0)))</f>
        <v>2</v>
      </c>
      <c r="T22" s="2" t="n">
        <f aca="false">IF(P22="Sí","",RANK(S22,$S$2:$S$27))</f>
        <v>17</v>
      </c>
    </row>
    <row r="23" customFormat="false" ht="15" hidden="false" customHeight="false" outlineLevel="0" collapsed="false">
      <c r="A23" s="2" t="n">
        <v>22</v>
      </c>
      <c r="B23" s="4"/>
      <c r="C23" s="4" t="s">
        <v>89</v>
      </c>
      <c r="D23" s="4" t="s">
        <v>49</v>
      </c>
      <c r="E23" s="4" t="s">
        <v>80</v>
      </c>
      <c r="F23" s="4" t="s">
        <v>31</v>
      </c>
      <c r="G23" s="5" t="s">
        <v>25</v>
      </c>
      <c r="H23" s="6" t="n">
        <v>1</v>
      </c>
      <c r="I23" s="6" t="n">
        <v>0</v>
      </c>
      <c r="J23" s="6" t="s">
        <v>38</v>
      </c>
      <c r="K23" s="7" t="s">
        <v>38</v>
      </c>
      <c r="L23" s="8"/>
      <c r="M23" s="8"/>
      <c r="N23" s="9"/>
      <c r="O23" s="8"/>
      <c r="P23" s="8"/>
      <c r="Q23" s="10" t="s">
        <v>90</v>
      </c>
      <c r="R23" s="2" t="str">
        <f aca="false">IF(P23="Sí","Descartar",IF(OR(M23="Sí",O23="Sí"),"Alta",IF(J23="Sí","Media","Por verificar")))</f>
        <v>Por verificar</v>
      </c>
      <c r="S23" s="2" t="n">
        <f aca="false">IF(P23="Sí",0,MIN(10,IF(R23="Alta",5,IF(R23="Media",3,1))+H23+I23+IF(L23&gt;100,1,0)+IF(K23="Sin web",1,0)))</f>
        <v>2</v>
      </c>
      <c r="T23" s="2" t="n">
        <f aca="false">IF(P23="Sí","",RANK(S23,$S$2:$S$27))</f>
        <v>17</v>
      </c>
    </row>
    <row r="24" customFormat="false" ht="15" hidden="false" customHeight="false" outlineLevel="0" collapsed="false">
      <c r="A24" s="2" t="n">
        <v>23</v>
      </c>
      <c r="B24" s="4"/>
      <c r="C24" s="4" t="s">
        <v>91</v>
      </c>
      <c r="D24" s="4" t="s">
        <v>22</v>
      </c>
      <c r="E24" s="4" t="s">
        <v>87</v>
      </c>
      <c r="F24" s="4" t="s">
        <v>31</v>
      </c>
      <c r="G24" s="5" t="s">
        <v>25</v>
      </c>
      <c r="H24" s="6" t="n">
        <v>1</v>
      </c>
      <c r="I24" s="6" t="n">
        <v>0</v>
      </c>
      <c r="J24" s="6" t="s">
        <v>38</v>
      </c>
      <c r="K24" s="7" t="s">
        <v>38</v>
      </c>
      <c r="L24" s="8"/>
      <c r="M24" s="8"/>
      <c r="N24" s="9"/>
      <c r="O24" s="8"/>
      <c r="P24" s="8"/>
      <c r="Q24" s="10"/>
      <c r="R24" s="2" t="str">
        <f aca="false">IF(P24="Sí","Descartar",IF(OR(M24="Sí",O24="Sí"),"Alta",IF(J24="Sí","Media","Por verificar")))</f>
        <v>Por verificar</v>
      </c>
      <c r="S24" s="2" t="n">
        <f aca="false">IF(P24="Sí",0,MIN(10,IF(R24="Alta",5,IF(R24="Media",3,1))+H24+I24+IF(L24&gt;100,1,0)+IF(K24="Sin web",1,0)))</f>
        <v>2</v>
      </c>
      <c r="T24" s="2" t="n">
        <f aca="false">IF(P24="Sí","",RANK(S24,$S$2:$S$27))</f>
        <v>17</v>
      </c>
    </row>
    <row r="25" customFormat="false" ht="15" hidden="false" customHeight="false" outlineLevel="0" collapsed="false">
      <c r="A25" s="2" t="n">
        <v>24</v>
      </c>
      <c r="B25" s="4"/>
      <c r="C25" s="4" t="s">
        <v>92</v>
      </c>
      <c r="D25" s="4" t="s">
        <v>22</v>
      </c>
      <c r="E25" s="4" t="s">
        <v>93</v>
      </c>
      <c r="F25" s="4" t="s">
        <v>31</v>
      </c>
      <c r="G25" s="5" t="s">
        <v>25</v>
      </c>
      <c r="H25" s="6" t="n">
        <v>1</v>
      </c>
      <c r="I25" s="6" t="n">
        <v>0</v>
      </c>
      <c r="J25" s="6" t="s">
        <v>38</v>
      </c>
      <c r="K25" s="7" t="s">
        <v>38</v>
      </c>
      <c r="L25" s="8"/>
      <c r="M25" s="8"/>
      <c r="N25" s="9"/>
      <c r="O25" s="8"/>
      <c r="P25" s="8"/>
      <c r="Q25" s="10"/>
      <c r="R25" s="2" t="str">
        <f aca="false">IF(P25="Sí","Descartar",IF(OR(M25="Sí",O25="Sí"),"Alta",IF(J25="Sí","Media","Por verificar")))</f>
        <v>Por verificar</v>
      </c>
      <c r="S25" s="2" t="n">
        <f aca="false">IF(P25="Sí",0,MIN(10,IF(R25="Alta",5,IF(R25="Media",3,1))+H25+I25+IF(L25&gt;100,1,0)+IF(K25="Sin web",1,0)))</f>
        <v>2</v>
      </c>
      <c r="T25" s="2" t="n">
        <f aca="false">IF(P25="Sí","",RANK(S25,$S$2:$S$27))</f>
        <v>17</v>
      </c>
    </row>
    <row r="26" customFormat="false" ht="15" hidden="false" customHeight="false" outlineLevel="0" collapsed="false">
      <c r="A26" s="2" t="n">
        <v>25</v>
      </c>
      <c r="B26" s="4"/>
      <c r="C26" s="4" t="s">
        <v>94</v>
      </c>
      <c r="D26" s="4" t="s">
        <v>49</v>
      </c>
      <c r="E26" s="4" t="s">
        <v>76</v>
      </c>
      <c r="F26" s="4" t="s">
        <v>31</v>
      </c>
      <c r="G26" s="5" t="s">
        <v>25</v>
      </c>
      <c r="H26" s="6" t="n">
        <v>1</v>
      </c>
      <c r="I26" s="6" t="n">
        <v>0</v>
      </c>
      <c r="J26" s="6" t="s">
        <v>38</v>
      </c>
      <c r="K26" s="7" t="s">
        <v>38</v>
      </c>
      <c r="L26" s="8"/>
      <c r="M26" s="8"/>
      <c r="N26" s="9"/>
      <c r="O26" s="8"/>
      <c r="P26" s="8"/>
      <c r="Q26" s="10"/>
      <c r="R26" s="2" t="str">
        <f aca="false">IF(P26="Sí","Descartar",IF(OR(M26="Sí",O26="Sí"),"Alta",IF(J26="Sí","Media","Por verificar")))</f>
        <v>Por verificar</v>
      </c>
      <c r="S26" s="2" t="n">
        <f aca="false">IF(P26="Sí",0,MIN(10,IF(R26="Alta",5,IF(R26="Media",3,1))+H26+I26+IF(L26&gt;100,1,0)+IF(K26="Sin web",1,0)))</f>
        <v>2</v>
      </c>
      <c r="T26" s="2" t="n">
        <f aca="false">IF(P26="Sí","",RANK(S26,$S$2:$S$27))</f>
        <v>17</v>
      </c>
    </row>
    <row r="27" customFormat="false" ht="23.85" hidden="false" customHeight="false" outlineLevel="0" collapsed="false">
      <c r="A27" s="2" t="n">
        <v>26</v>
      </c>
      <c r="B27" s="4"/>
      <c r="C27" s="4" t="s">
        <v>95</v>
      </c>
      <c r="D27" s="4" t="s">
        <v>30</v>
      </c>
      <c r="E27" s="4" t="s">
        <v>23</v>
      </c>
      <c r="F27" s="4" t="s">
        <v>96</v>
      </c>
      <c r="G27" s="5" t="s">
        <v>25</v>
      </c>
      <c r="H27" s="6" t="n">
        <v>2</v>
      </c>
      <c r="I27" s="6" t="n">
        <v>0</v>
      </c>
      <c r="J27" s="6" t="s">
        <v>26</v>
      </c>
      <c r="K27" s="7" t="s">
        <v>32</v>
      </c>
      <c r="L27" s="8"/>
      <c r="M27" s="8"/>
      <c r="N27" s="9"/>
      <c r="O27" s="8"/>
      <c r="P27" s="8" t="s">
        <v>26</v>
      </c>
      <c r="Q27" s="10" t="s">
        <v>97</v>
      </c>
      <c r="R27" s="2" t="str">
        <f aca="false">IF(P27="Sí","Descartar",IF(OR(M27="Sí",O27="Sí"),"Alta",IF(J27="Sí","Media","Por verificar")))</f>
        <v>Descartar</v>
      </c>
      <c r="S27" s="2" t="n">
        <f aca="false">IF(P27="Sí",0,MIN(10,IF(R27="Alta",5,IF(R27="Media",3,1))+H27+I27+IF(L27&gt;100,1,0)+IF(K27="Sin web",1,0)))</f>
        <v>0</v>
      </c>
      <c r="T27" s="2" t="str">
        <f aca="false">IF(P27="Sí","",RANK(S27,$S$2:$S$27))</f>
        <v/>
      </c>
    </row>
  </sheetData>
  <autoFilter ref="A1:T27"/>
  <conditionalFormatting sqref="R2:R27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"Media"</formula>
    </cfRule>
    <cfRule type="cellIs" priority="4" operator="equal" aboveAverage="0" equalAverage="0" bottom="0" percent="0" rank="0" text="" dxfId="12">
      <formula>"Descartar"</formula>
    </cfRule>
  </conditionalFormatting>
  <dataValidations count="2">
    <dataValidation allowBlank="true" errorStyle="stop" operator="between" showDropDown="false" showErrorMessage="false" showInputMessage="false" sqref="M2:M27 O2:P27" type="list">
      <formula1>"Sí,No"</formula1>
      <formula2>0</formula2>
    </dataValidation>
    <dataValidation allowBlank="true" errorStyle="stop" operator="between" showDropDown="false" showErrorMessage="false" showInputMessage="false" sqref="J2:J27" type="list">
      <formula1>"Sí,No,?"</formula1>
      <formula2>0</formula2>
    </dataValidation>
  </dataValidations>
  <hyperlinks>
    <hyperlink ref="G2" r:id="rId1" display="Abrir en Maps"/>
    <hyperlink ref="G3" r:id="rId2" display="Abrir en Maps"/>
    <hyperlink ref="G4" r:id="rId3" display="Abrir en Maps"/>
    <hyperlink ref="G5" r:id="rId4" display="Abrir en Maps"/>
    <hyperlink ref="G6" r:id="rId5" display="Abrir en Maps"/>
    <hyperlink ref="G7" r:id="rId6" display="Abrir en Maps"/>
    <hyperlink ref="G8" r:id="rId7" display="Abrir en Maps"/>
    <hyperlink ref="G9" r:id="rId8" display="Abrir en Maps"/>
    <hyperlink ref="G10" r:id="rId9" display="Abrir en Maps"/>
    <hyperlink ref="G11" r:id="rId10" display="Abrir en Maps"/>
    <hyperlink ref="G12" r:id="rId11" display="Abrir en Maps"/>
    <hyperlink ref="G13" r:id="rId12" display="Abrir en Maps"/>
    <hyperlink ref="G14" r:id="rId13" display="Abrir en Maps"/>
    <hyperlink ref="G15" r:id="rId14" display="Abrir en Maps"/>
    <hyperlink ref="G16" r:id="rId15" display="Abrir en Maps"/>
    <hyperlink ref="G17" r:id="rId16" display="Abrir en Maps"/>
    <hyperlink ref="G18" r:id="rId17" display="Abrir en Maps"/>
    <hyperlink ref="G19" r:id="rId18" display="Abrir en Maps"/>
    <hyperlink ref="G20" r:id="rId19" display="Abrir en Maps"/>
    <hyperlink ref="G21" r:id="rId20" display="Abrir en Maps"/>
    <hyperlink ref="G22" r:id="rId21" display="Abrir en Maps"/>
    <hyperlink ref="G23" r:id="rId22" display="Abrir en Maps"/>
    <hyperlink ref="G24" r:id="rId23" display="Abrir en Maps"/>
    <hyperlink ref="G25" r:id="rId24" display="Abrir en Maps"/>
    <hyperlink ref="G26" r:id="rId25" display="Abrir en Maps"/>
    <hyperlink ref="G27" r:id="rId26" display="Abrir en M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3.85" hidden="false" customHeight="false" outlineLevel="0" collapsed="false">
      <c r="A1" s="11" t="s">
        <v>98</v>
      </c>
      <c r="B1" s="12" t="s">
        <v>99</v>
      </c>
    </row>
    <row r="2" customFormat="false" ht="15" hidden="false" customHeight="false" outlineLevel="0" collapsed="false">
      <c r="A2" s="11"/>
      <c r="B2" s="12"/>
    </row>
    <row r="3" customFormat="false" ht="23.85" hidden="false" customHeight="false" outlineLevel="0" collapsed="false">
      <c r="A3" s="11" t="s">
        <v>100</v>
      </c>
      <c r="B3" s="13" t="s">
        <v>101</v>
      </c>
    </row>
    <row r="4" customFormat="false" ht="15" hidden="false" customHeight="false" outlineLevel="0" collapsed="false">
      <c r="A4" s="11"/>
      <c r="B4" s="12"/>
    </row>
    <row r="5" customFormat="false" ht="15" hidden="false" customHeight="false" outlineLevel="0" collapsed="false">
      <c r="A5" s="11" t="s">
        <v>102</v>
      </c>
      <c r="B5" s="12" t="s">
        <v>103</v>
      </c>
    </row>
    <row r="6" customFormat="false" ht="35.05" hidden="false" customHeight="false" outlineLevel="0" collapsed="false">
      <c r="A6" s="11" t="s">
        <v>104</v>
      </c>
      <c r="B6" s="12" t="s">
        <v>105</v>
      </c>
    </row>
    <row r="7" customFormat="false" ht="23.85" hidden="false" customHeight="false" outlineLevel="0" collapsed="false">
      <c r="A7" s="11" t="s">
        <v>106</v>
      </c>
      <c r="B7" s="12" t="s">
        <v>107</v>
      </c>
    </row>
    <row r="8" customFormat="false" ht="23.85" hidden="false" customHeight="false" outlineLevel="0" collapsed="false">
      <c r="A8" s="11" t="s">
        <v>108</v>
      </c>
      <c r="B8" s="12" t="s">
        <v>109</v>
      </c>
    </row>
    <row r="9" customFormat="false" ht="23.85" hidden="false" customHeight="false" outlineLevel="0" collapsed="false">
      <c r="A9" s="11" t="s">
        <v>110</v>
      </c>
      <c r="B9" s="12" t="s">
        <v>111</v>
      </c>
    </row>
    <row r="10" customFormat="false" ht="15" hidden="false" customHeight="false" outlineLevel="0" collapsed="false">
      <c r="A10" s="11" t="s">
        <v>112</v>
      </c>
      <c r="B10" s="12" t="s">
        <v>113</v>
      </c>
    </row>
    <row r="11" customFormat="false" ht="15" hidden="false" customHeight="false" outlineLevel="0" collapsed="false">
      <c r="A11" s="11"/>
      <c r="B11" s="12"/>
    </row>
    <row r="12" customFormat="false" ht="35.05" hidden="false" customHeight="false" outlineLevel="0" collapsed="false">
      <c r="A12" s="11" t="s">
        <v>114</v>
      </c>
      <c r="B12" s="12" t="s">
        <v>115</v>
      </c>
    </row>
    <row r="13" customFormat="false" ht="23.85" hidden="false" customHeight="false" outlineLevel="0" collapsed="false">
      <c r="A13" s="11" t="s">
        <v>116</v>
      </c>
      <c r="B13" s="12" t="s">
        <v>117</v>
      </c>
    </row>
    <row r="14" customFormat="false" ht="15" hidden="false" customHeight="false" outlineLevel="0" collapsed="false">
      <c r="A14" s="11"/>
      <c r="B14" s="12"/>
    </row>
    <row r="15" customFormat="false" ht="23.85" hidden="false" customHeight="false" outlineLevel="0" collapsed="false">
      <c r="A15" s="11" t="s">
        <v>118</v>
      </c>
      <c r="B15" s="1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2026-10-08T22:25:32Z</dcterms:created>
  <dc:creator>openpyxl</dc:creator>
  <dc:description/>
  <dc:language>en-US</dc:language>
  <cp:lastModifiedBy/>
  <dcterms:modified xsi:type="dcterms:W3CDTF">2026-10-08T22:25:32Z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